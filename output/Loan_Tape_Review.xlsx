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Loans" sheetId="6" state="visible" r:id="rId6"/>
    <sheet xmlns:r="http://schemas.openxmlformats.org/officeDocument/2006/relationships" name="Foreca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#,##0.00;[Red]-#,##0.00"/>
    <numFmt numFmtId="166" formatCode="0.0%"/>
    <numFmt numFmtId="167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1F3A5F"/>
      <sz val="12"/>
    </font>
    <font>
      <b val="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pivotButton="0" quotePrefix="0" xfId="0"/>
    <xf numFmtId="0" fontId="0" fillId="4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6" borderId="0" pivotButton="0" quotePrefix="0" xfId="0"/>
    <xf numFmtId="1" fontId="0" fillId="6" borderId="0" pivotButton="0" quotePrefix="0" xfId="0"/>
    <xf numFmtId="164" fontId="0" fillId="6" borderId="0" pivotButton="0" quotePrefix="0" xfId="0"/>
    <xf numFmtId="9" fontId="0" fillId="6" borderId="0" pivotButton="0" quotePrefix="0" xfId="0"/>
    <xf numFmtId="17" fontId="0" fillId="0" borderId="0" pivotButton="0" quotePrefix="0" xfId="0"/>
    <xf numFmtId="0" fontId="5" fillId="0" borderId="0" pivotButton="0" quotePrefix="0" xfId="0"/>
    <xf numFmtId="164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cash: base vs delayed payoffs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'Forecast'!I3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'Forecast'!$A$4:$A$15</f>
            </numRef>
          </cat>
          <val>
            <numRef>
              <f>'Forecast'!$I$4:$I$15</f>
            </numRef>
          </val>
          <smooth val="0"/>
        </ser>
        <ser>
          <idx val="1"/>
          <order val="1"/>
          <tx>
            <strRef>
              <f>'Forecast'!J3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'Forecast'!$A$4:$A$15</f>
            </numRef>
          </cat>
          <val>
            <numRef>
              <f>'Forecast'!$J$4:$J$15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95" customWidth="1" min="1" max="1"/>
    <col width="16" customWidth="1" min="2" max="2"/>
  </cols>
  <sheetData>
    <row r="1">
      <c r="A1" s="1" t="inlineStr">
        <is>
          <t>Loan tape review (demo data)</t>
        </is>
      </c>
    </row>
    <row r="2">
      <c r="A2" t="inlineStr">
        <is>
          <t>As of 2026-10-31. All names, amounts and dates are fictitious.</t>
        </is>
      </c>
    </row>
    <row r="4">
      <c r="A4" s="2" t="inlineStr">
        <is>
          <t>What the information establishes</t>
        </is>
      </c>
    </row>
    <row r="5">
      <c r="A5" t="inlineStr">
        <is>
          <t>- 24 loans in the tape; 18 active with 2,565,000 outstanding principal.</t>
        </is>
      </c>
    </row>
    <row r="6">
      <c r="A6" t="inlineStr">
        <is>
          <t>- Cash per ledger: 276,810.</t>
        </is>
      </c>
    </row>
    <row r="7">
      <c r="A7" t="inlineStr">
        <is>
          <t>- 6 loans paid off; average time from funding to payoff 165 days.</t>
        </is>
      </c>
    </row>
    <row r="8">
      <c r="A8" t="inlineStr">
        <is>
          <t>- Largest borrower exposure: B03 with 13% of active principal.</t>
        </is>
      </c>
    </row>
    <row r="10">
      <c r="A10" s="2" t="inlineStr">
        <is>
          <t>What is assumed</t>
        </is>
      </c>
    </row>
    <row r="11">
      <c r="A11" t="inlineStr">
        <is>
          <t>- Interest is paid at payoff (principal x 12% x term).</t>
        </is>
      </c>
    </row>
    <row r="12">
      <c r="A12" t="inlineStr">
        <is>
          <t>- Active loans pay off at maturity in the base case; loans already past maturity pay next month.</t>
        </is>
      </c>
    </row>
    <row r="13">
      <c r="A13" t="inlineStr">
        <is>
          <t>- Delayed case: every payoff moves by the number of months in Assumptions!B3.</t>
        </is>
      </c>
    </row>
    <row r="14">
      <c r="A14" t="inlineStr">
        <is>
          <t>- New loans: count, size, term and rate as set in Assumptions; they pay off after their term.</t>
        </is>
      </c>
    </row>
    <row r="15">
      <c r="A15" t="inlineStr">
        <is>
          <t>- Investor distributions and operating costs as set in Assumptions.</t>
        </is>
      </c>
    </row>
    <row r="17">
      <c r="A17" s="2" t="inlineStr">
        <is>
          <t>What needs to be verified</t>
        </is>
      </c>
    </row>
    <row r="18">
      <c r="A18" t="inlineStr">
        <is>
          <t>- 8 discrepancies between tape and ledger (4 high severity) - see Issues.</t>
        </is>
      </c>
    </row>
    <row r="19">
      <c r="A19" t="inlineStr">
        <is>
          <t>- 2 active loans past maturity: extension terms or default status.</t>
        </is>
      </c>
    </row>
    <row r="20">
      <c r="A20" t="inlineStr">
        <is>
          <t>- Bank statements for the flagged funding and payoff dates.</t>
        </is>
      </c>
    </row>
    <row r="22">
      <c r="A22" s="2" t="inlineStr">
        <is>
          <t>Recommended next steps</t>
        </is>
      </c>
    </row>
    <row r="23">
      <c r="A23" t="inlineStr">
        <is>
          <t>- Resolve high-severity issues before using the forecast with investors.</t>
        </is>
      </c>
    </row>
    <row r="24">
      <c r="A24" t="inlineStr">
        <is>
          <t>- Agree the delay assumption with the lender, based on its own payoff history.</t>
        </is>
      </c>
    </row>
    <row r="25">
      <c r="A25" t="inlineStr">
        <is>
          <t>- Use 'Capital needed' in Forecast as the size of the next capital raise, plus the cash buffer.</t>
        </is>
      </c>
    </row>
    <row r="27">
      <c r="A27" s="3" t="inlineStr">
        <is>
          <t>Capital needed (base case)</t>
        </is>
      </c>
      <c r="B27" s="4">
        <f>Forecast!I18</f>
        <v/>
      </c>
    </row>
    <row r="28">
      <c r="A28" s="3" t="inlineStr">
        <is>
          <t>Capital needed (delayed payoffs)</t>
        </is>
      </c>
      <c r="B28" s="4">
        <f>Forecast!J18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4" customWidth="1" min="3" max="3"/>
    <col width="52" customWidth="1" min="4" max="4"/>
    <col width="58" customWidth="1" min="5" max="5"/>
  </cols>
  <sheetData>
    <row r="1">
      <c r="A1" s="5" t="inlineStr">
        <is>
          <t>Severity</t>
        </is>
      </c>
      <c r="B1" s="5" t="inlineStr">
        <is>
          <t>Loan</t>
        </is>
      </c>
      <c r="C1" s="5" t="inlineStr">
        <is>
          <t>Issue</t>
        </is>
      </c>
      <c r="D1" s="5" t="inlineStr">
        <is>
          <t>Evidence</t>
        </is>
      </c>
      <c r="E1" s="5" t="inlineStr">
        <is>
          <t>Proposed resolution</t>
        </is>
      </c>
    </row>
    <row r="2">
      <c r="A2" s="6" t="inlineStr">
        <is>
          <t>High</t>
        </is>
      </c>
      <c r="B2" s="7" t="inlineStr">
        <is>
          <t>L-0107</t>
        </is>
      </c>
      <c r="C2" s="7" t="inlineStr">
        <is>
          <t>Funding in tape but not in ledger</t>
        </is>
      </c>
      <c r="D2" s="7" t="inlineStr">
        <is>
          <t>Tape: 185,000 funded 2026-01-31; ledger: no funding row</t>
        </is>
      </c>
      <c r="E2" s="7" t="inlineStr">
        <is>
          <t>Request bank statement for the funding date; book the missing ledger entry or correct the tape</t>
        </is>
      </c>
    </row>
    <row r="3">
      <c r="A3" s="6" t="inlineStr">
        <is>
          <t>High</t>
        </is>
      </c>
      <c r="B3" s="7" t="inlineStr">
        <is>
          <t>L-0109</t>
        </is>
      </c>
      <c r="C3" s="7" t="inlineStr">
        <is>
          <t>Tape says paid off, ledger has no payoff</t>
        </is>
      </c>
      <c r="D3" s="7" t="inlineStr">
        <is>
          <t>Tape payoff 89,107.95 on 2026-07-26</t>
        </is>
      </c>
      <c r="E3" s="7" t="inlineStr">
        <is>
          <t>Find the payoff receipt; if not received, the loan is still outstanding</t>
        </is>
      </c>
    </row>
    <row r="4">
      <c r="A4" s="6" t="inlineStr">
        <is>
          <t>High</t>
        </is>
      </c>
      <c r="B4" s="7" t="inlineStr">
        <is>
          <t>L-0115</t>
        </is>
      </c>
      <c r="C4" s="7" t="inlineStr">
        <is>
          <t>Duplicate funding in ledger</t>
        </is>
      </c>
      <c r="D4" s="7" t="inlineStr">
        <is>
          <t>2 funding rows totalling 320,000 vs tape principal 160,000</t>
        </is>
      </c>
      <c r="E4" s="7" t="inlineStr">
        <is>
          <t>Confirm against bank statement and reverse the duplicate ledger row</t>
        </is>
      </c>
    </row>
    <row r="5">
      <c r="A5" s="6" t="inlineStr">
        <is>
          <t>High</t>
        </is>
      </c>
      <c r="B5" s="7" t="inlineStr">
        <is>
          <t>L-0125</t>
        </is>
      </c>
      <c r="C5" s="7" t="inlineStr">
        <is>
          <t>Funding in ledger for a loan not in tape</t>
        </is>
      </c>
      <c r="D5" s="7" t="inlineStr">
        <is>
          <t>Ledger funding 95,000</t>
        </is>
      </c>
      <c r="E5" s="7" t="inlineStr">
        <is>
          <t>Obtain loan documents and add to tape, or reverse if posted in error</t>
        </is>
      </c>
    </row>
    <row r="6">
      <c r="A6" s="8" t="inlineStr">
        <is>
          <t>Medium</t>
        </is>
      </c>
      <c r="B6" s="7" t="inlineStr">
        <is>
          <t>L-0105</t>
        </is>
      </c>
      <c r="C6" s="7" t="inlineStr">
        <is>
          <t>Active loan past maturity</t>
        </is>
      </c>
      <c r="D6" s="7" t="inlineStr">
        <is>
          <t>Matured 2026-07-02, 121 days ago</t>
        </is>
      </c>
      <c r="E6" s="7" t="inlineStr">
        <is>
          <t>Confirm extension terms or start default process; treat payoff as delayed in the forecast</t>
        </is>
      </c>
    </row>
    <row r="7">
      <c r="A7" s="8" t="inlineStr">
        <is>
          <t>Medium</t>
        </is>
      </c>
      <c r="B7" s="7" t="inlineStr">
        <is>
          <t>L-0111</t>
        </is>
      </c>
      <c r="C7" s="7" t="inlineStr">
        <is>
          <t>Active loan past maturity</t>
        </is>
      </c>
      <c r="D7" s="7" t="inlineStr">
        <is>
          <t>Matured 2026-09-30, 31 days ago</t>
        </is>
      </c>
      <c r="E7" s="7" t="inlineStr">
        <is>
          <t>Confirm extension terms or start default process; treat payoff as delayed in the forecast</t>
        </is>
      </c>
    </row>
    <row r="8">
      <c r="A8" s="8" t="inlineStr">
        <is>
          <t>Medium</t>
        </is>
      </c>
      <c r="B8" s="7" t="inlineStr">
        <is>
          <t>L-0112</t>
        </is>
      </c>
      <c r="C8" s="7" t="inlineStr">
        <is>
          <t>Payoff amount differs</t>
        </is>
      </c>
      <c r="D8" s="7" t="inlineStr">
        <is>
          <t>Tape 89,974.25 vs ledger 87,474.25 (diff -2,500.00)</t>
        </is>
      </c>
      <c r="E8" s="7" t="inlineStr">
        <is>
          <t>Check payoff statement: fees, interest days or a short payment</t>
        </is>
      </c>
    </row>
    <row r="9">
      <c r="A9" s="9" t="inlineStr">
        <is>
          <t>Low</t>
        </is>
      </c>
      <c r="B9" s="7" t="inlineStr">
        <is>
          <t>L-0103</t>
        </is>
      </c>
      <c r="C9" s="7" t="inlineStr">
        <is>
          <t>Funding date differs</t>
        </is>
      </c>
      <c r="D9" s="7" t="inlineStr">
        <is>
          <t>Tape 2025-12-04 vs ledger 2025-12-10 (6 days)</t>
        </is>
      </c>
      <c r="E9" s="7" t="inlineStr">
        <is>
          <t>Use the bank value date in both records; affects interest accrual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6" customWidth="1" min="5" max="5"/>
    <col width="15" customWidth="1" min="6" max="6"/>
    <col width="15" customWidth="1" min="7" max="7"/>
    <col width="9" customWidth="1" min="8" max="8"/>
  </cols>
  <sheetData>
    <row r="1">
      <c r="A1" s="5" t="inlineStr">
        <is>
          <t>Loan</t>
        </is>
      </c>
      <c r="B1" s="5" t="inlineStr">
        <is>
          <t>Borrower</t>
        </is>
      </c>
      <c r="C1" s="5" t="inlineStr">
        <is>
          <t>Status (tape)</t>
        </is>
      </c>
      <c r="D1" s="5" t="inlineStr">
        <is>
          <t>Principal (tape)</t>
        </is>
      </c>
      <c r="E1" s="5" t="inlineStr">
        <is>
          <t>Funding (ledger)</t>
        </is>
      </c>
      <c r="F1" s="5" t="inlineStr">
        <is>
          <t>Payoff (tape)</t>
        </is>
      </c>
      <c r="G1" s="5" t="inlineStr">
        <is>
          <t>Payoff (ledger)</t>
        </is>
      </c>
      <c r="H1" s="5" t="inlineStr">
        <is>
          <t>Result</t>
        </is>
      </c>
    </row>
    <row r="2">
      <c r="A2" t="inlineStr">
        <is>
          <t>L-0101</t>
        </is>
      </c>
      <c r="B2" t="inlineStr">
        <is>
          <t>B01</t>
        </is>
      </c>
      <c r="C2" t="inlineStr">
        <is>
          <t>Active</t>
        </is>
      </c>
      <c r="D2" s="10" t="n">
        <v>185000</v>
      </c>
      <c r="E2" s="10" t="n">
        <v>185000</v>
      </c>
      <c r="F2" s="10" t="n"/>
      <c r="G2" s="10" t="n"/>
      <c r="H2" t="inlineStr">
        <is>
          <t>OK</t>
        </is>
      </c>
    </row>
    <row r="3">
      <c r="A3" t="inlineStr">
        <is>
          <t>L-0102</t>
        </is>
      </c>
      <c r="B3" t="inlineStr">
        <is>
          <t>B02</t>
        </is>
      </c>
      <c r="C3" t="inlineStr">
        <is>
          <t>Paid off</t>
        </is>
      </c>
      <c r="D3" s="10" t="n">
        <v>85000</v>
      </c>
      <c r="E3" s="10" t="n">
        <v>85000</v>
      </c>
      <c r="F3" s="10" t="n">
        <v>90030.14</v>
      </c>
      <c r="G3" s="10" t="n">
        <v>90030.14</v>
      </c>
      <c r="H3" t="inlineStr">
        <is>
          <t>OK</t>
        </is>
      </c>
    </row>
    <row r="4">
      <c r="A4" t="inlineStr">
        <is>
          <t>L-0103</t>
        </is>
      </c>
      <c r="B4" t="inlineStr">
        <is>
          <t>B03</t>
        </is>
      </c>
      <c r="C4" t="inlineStr">
        <is>
          <t>Paid off</t>
        </is>
      </c>
      <c r="D4" s="10" t="n">
        <v>185000</v>
      </c>
      <c r="E4" s="10" t="n">
        <v>185000</v>
      </c>
      <c r="F4" s="10" t="n">
        <v>195035.62</v>
      </c>
      <c r="G4" s="10" t="n">
        <v>195035.62</v>
      </c>
      <c r="H4" s="11" t="inlineStr">
        <is>
          <t>Check</t>
        </is>
      </c>
    </row>
    <row r="5">
      <c r="A5" t="inlineStr">
        <is>
          <t>L-0104</t>
        </is>
      </c>
      <c r="B5" t="inlineStr">
        <is>
          <t>B03</t>
        </is>
      </c>
      <c r="C5" t="inlineStr">
        <is>
          <t>Active</t>
        </is>
      </c>
      <c r="D5" s="10" t="n">
        <v>110000</v>
      </c>
      <c r="E5" s="10" t="n">
        <v>110000</v>
      </c>
      <c r="F5" s="10" t="n"/>
      <c r="G5" s="10" t="n"/>
      <c r="H5" t="inlineStr">
        <is>
          <t>OK</t>
        </is>
      </c>
    </row>
    <row r="6">
      <c r="A6" t="inlineStr">
        <is>
          <t>L-0105</t>
        </is>
      </c>
      <c r="B6" t="inlineStr">
        <is>
          <t>B03</t>
        </is>
      </c>
      <c r="C6" t="inlineStr">
        <is>
          <t>Active</t>
        </is>
      </c>
      <c r="D6" s="10" t="n">
        <v>110000</v>
      </c>
      <c r="E6" s="10" t="n">
        <v>110000</v>
      </c>
      <c r="F6" s="10" t="n"/>
      <c r="G6" s="10" t="n"/>
      <c r="H6" s="11" t="inlineStr">
        <is>
          <t>Check</t>
        </is>
      </c>
    </row>
    <row r="7">
      <c r="A7" t="inlineStr">
        <is>
          <t>L-0106</t>
        </is>
      </c>
      <c r="B7" t="inlineStr">
        <is>
          <t>B04</t>
        </is>
      </c>
      <c r="C7" t="inlineStr">
        <is>
          <t>Paid off</t>
        </is>
      </c>
      <c r="D7" s="10" t="n">
        <v>110000</v>
      </c>
      <c r="E7" s="10" t="n">
        <v>110000</v>
      </c>
      <c r="F7" s="10" t="n">
        <v>116328.77</v>
      </c>
      <c r="G7" s="10" t="n">
        <v>116328.77</v>
      </c>
      <c r="H7" t="inlineStr">
        <is>
          <t>OK</t>
        </is>
      </c>
    </row>
    <row r="8">
      <c r="A8" t="inlineStr">
        <is>
          <t>L-0107</t>
        </is>
      </c>
      <c r="B8" t="inlineStr">
        <is>
          <t>B05</t>
        </is>
      </c>
      <c r="C8" t="inlineStr">
        <is>
          <t>Active</t>
        </is>
      </c>
      <c r="D8" s="10" t="n">
        <v>185000</v>
      </c>
      <c r="E8" s="10" t="n">
        <v>-0</v>
      </c>
      <c r="F8" s="10" t="n"/>
      <c r="G8" s="10" t="n"/>
      <c r="H8" s="11" t="inlineStr">
        <is>
          <t>Check</t>
        </is>
      </c>
    </row>
    <row r="9">
      <c r="A9" t="inlineStr">
        <is>
          <t>L-0108</t>
        </is>
      </c>
      <c r="B9" t="inlineStr">
        <is>
          <t>B06</t>
        </is>
      </c>
      <c r="C9" t="inlineStr">
        <is>
          <t>Paid off</t>
        </is>
      </c>
      <c r="D9" s="10" t="n">
        <v>185000</v>
      </c>
      <c r="E9" s="10" t="n">
        <v>185000</v>
      </c>
      <c r="F9" s="10" t="n">
        <v>193940.82</v>
      </c>
      <c r="G9" s="10" t="n">
        <v>193940.82</v>
      </c>
      <c r="H9" t="inlineStr">
        <is>
          <t>OK</t>
        </is>
      </c>
    </row>
    <row r="10">
      <c r="A10" t="inlineStr">
        <is>
          <t>L-0109</t>
        </is>
      </c>
      <c r="B10" t="inlineStr">
        <is>
          <t>B03</t>
        </is>
      </c>
      <c r="C10" t="inlineStr">
        <is>
          <t>Paid off</t>
        </is>
      </c>
      <c r="D10" s="10" t="n">
        <v>85000</v>
      </c>
      <c r="E10" s="10" t="n">
        <v>85000</v>
      </c>
      <c r="F10" s="10" t="n">
        <v>89107.95</v>
      </c>
      <c r="G10" s="10" t="n"/>
      <c r="H10" s="11" t="inlineStr">
        <is>
          <t>Check</t>
        </is>
      </c>
    </row>
    <row r="11">
      <c r="A11" t="inlineStr">
        <is>
          <t>L-0110</t>
        </is>
      </c>
      <c r="B11" t="inlineStr">
        <is>
          <t>B07</t>
        </is>
      </c>
      <c r="C11" t="inlineStr">
        <is>
          <t>Active</t>
        </is>
      </c>
      <c r="D11" s="10" t="n">
        <v>140000</v>
      </c>
      <c r="E11" s="10" t="n">
        <v>140000</v>
      </c>
      <c r="F11" s="10" t="n"/>
      <c r="G11" s="10" t="n"/>
      <c r="H11" t="inlineStr">
        <is>
          <t>OK</t>
        </is>
      </c>
    </row>
    <row r="12">
      <c r="A12" t="inlineStr">
        <is>
          <t>L-0111</t>
        </is>
      </c>
      <c r="B12" t="inlineStr">
        <is>
          <t>B08</t>
        </is>
      </c>
      <c r="C12" t="inlineStr">
        <is>
          <t>Active</t>
        </is>
      </c>
      <c r="D12" s="10" t="n">
        <v>85000</v>
      </c>
      <c r="E12" s="10" t="n">
        <v>85000</v>
      </c>
      <c r="F12" s="10" t="n"/>
      <c r="G12" s="10" t="n"/>
      <c r="H12" s="11" t="inlineStr">
        <is>
          <t>Check</t>
        </is>
      </c>
    </row>
    <row r="13">
      <c r="A13" t="inlineStr">
        <is>
          <t>L-0112</t>
        </is>
      </c>
      <c r="B13" t="inlineStr">
        <is>
          <t>B02</t>
        </is>
      </c>
      <c r="C13" t="inlineStr">
        <is>
          <t>Paid off</t>
        </is>
      </c>
      <c r="D13" s="10" t="n">
        <v>85000</v>
      </c>
      <c r="E13" s="10" t="n">
        <v>85000</v>
      </c>
      <c r="F13" s="10" t="n">
        <v>89974.25</v>
      </c>
      <c r="G13" s="10" t="n">
        <v>87474.25</v>
      </c>
      <c r="H13" s="11" t="inlineStr">
        <is>
          <t>Check</t>
        </is>
      </c>
    </row>
    <row r="14">
      <c r="A14" t="inlineStr">
        <is>
          <t>L-0113</t>
        </is>
      </c>
      <c r="B14" t="inlineStr">
        <is>
          <t>B09</t>
        </is>
      </c>
      <c r="C14" t="inlineStr">
        <is>
          <t>Active</t>
        </is>
      </c>
      <c r="D14" s="10" t="n">
        <v>110000</v>
      </c>
      <c r="E14" s="10" t="n">
        <v>110000</v>
      </c>
      <c r="F14" s="10" t="n"/>
      <c r="G14" s="10" t="n"/>
      <c r="H14" t="inlineStr">
        <is>
          <t>OK</t>
        </is>
      </c>
    </row>
    <row r="15">
      <c r="A15" t="inlineStr">
        <is>
          <t>L-0114</t>
        </is>
      </c>
      <c r="B15" t="inlineStr">
        <is>
          <t>B03</t>
        </is>
      </c>
      <c r="C15" t="inlineStr">
        <is>
          <t>Active</t>
        </is>
      </c>
      <c r="D15" s="10" t="n">
        <v>110000</v>
      </c>
      <c r="E15" s="10" t="n">
        <v>110000</v>
      </c>
      <c r="F15" s="10" t="n"/>
      <c r="G15" s="10" t="n"/>
      <c r="H15" t="inlineStr">
        <is>
          <t>OK</t>
        </is>
      </c>
    </row>
    <row r="16">
      <c r="A16" t="inlineStr">
        <is>
          <t>L-0115</t>
        </is>
      </c>
      <c r="B16" t="inlineStr">
        <is>
          <t>B10</t>
        </is>
      </c>
      <c r="C16" t="inlineStr">
        <is>
          <t>Active</t>
        </is>
      </c>
      <c r="D16" s="10" t="n">
        <v>160000</v>
      </c>
      <c r="E16" s="10" t="n">
        <v>320000</v>
      </c>
      <c r="F16" s="10" t="n"/>
      <c r="G16" s="10" t="n"/>
      <c r="H16" s="11" t="inlineStr">
        <is>
          <t>Check</t>
        </is>
      </c>
    </row>
    <row r="17">
      <c r="A17" t="inlineStr">
        <is>
          <t>L-0116</t>
        </is>
      </c>
      <c r="B17" t="inlineStr">
        <is>
          <t>B11</t>
        </is>
      </c>
      <c r="C17" t="inlineStr">
        <is>
          <t>Active</t>
        </is>
      </c>
      <c r="D17" s="10" t="n">
        <v>160000</v>
      </c>
      <c r="E17" s="10" t="n">
        <v>160000</v>
      </c>
      <c r="F17" s="10" t="n"/>
      <c r="G17" s="10" t="n"/>
      <c r="H17" t="inlineStr">
        <is>
          <t>OK</t>
        </is>
      </c>
    </row>
    <row r="18">
      <c r="A18" t="inlineStr">
        <is>
          <t>L-0117</t>
        </is>
      </c>
      <c r="B18" t="inlineStr">
        <is>
          <t>B12</t>
        </is>
      </c>
      <c r="C18" t="inlineStr">
        <is>
          <t>Active</t>
        </is>
      </c>
      <c r="D18" s="10" t="n">
        <v>85000</v>
      </c>
      <c r="E18" s="10" t="n">
        <v>85000</v>
      </c>
      <c r="F18" s="10" t="n"/>
      <c r="G18" s="10" t="n"/>
      <c r="H18" t="inlineStr">
        <is>
          <t>OK</t>
        </is>
      </c>
    </row>
    <row r="19">
      <c r="A19" t="inlineStr">
        <is>
          <t>L-0118</t>
        </is>
      </c>
      <c r="B19" t="inlineStr">
        <is>
          <t>B02</t>
        </is>
      </c>
      <c r="C19" t="inlineStr">
        <is>
          <t>Active</t>
        </is>
      </c>
      <c r="D19" s="10" t="n">
        <v>160000</v>
      </c>
      <c r="E19" s="10" t="n">
        <v>160000</v>
      </c>
      <c r="F19" s="10" t="n"/>
      <c r="G19" s="10" t="n"/>
      <c r="H19" t="inlineStr">
        <is>
          <t>OK</t>
        </is>
      </c>
    </row>
    <row r="20">
      <c r="A20" t="inlineStr">
        <is>
          <t>L-0119</t>
        </is>
      </c>
      <c r="B20" t="inlineStr">
        <is>
          <t>B13</t>
        </is>
      </c>
      <c r="C20" t="inlineStr">
        <is>
          <t>Active</t>
        </is>
      </c>
      <c r="D20" s="10" t="n">
        <v>110000</v>
      </c>
      <c r="E20" s="10" t="n">
        <v>110000</v>
      </c>
      <c r="F20" s="10" t="n"/>
      <c r="G20" s="10" t="n"/>
      <c r="H20" t="inlineStr">
        <is>
          <t>OK</t>
        </is>
      </c>
    </row>
    <row r="21">
      <c r="A21" t="inlineStr">
        <is>
          <t>L-0120</t>
        </is>
      </c>
      <c r="B21" t="inlineStr">
        <is>
          <t>B14</t>
        </is>
      </c>
      <c r="C21" t="inlineStr">
        <is>
          <t>Active</t>
        </is>
      </c>
      <c r="D21" s="10" t="n">
        <v>185000</v>
      </c>
      <c r="E21" s="10" t="n">
        <v>185000</v>
      </c>
      <c r="F21" s="10" t="n"/>
      <c r="G21" s="10" t="n"/>
      <c r="H21" t="inlineStr">
        <is>
          <t>OK</t>
        </is>
      </c>
    </row>
    <row r="22">
      <c r="A22" t="inlineStr">
        <is>
          <t>L-0121</t>
        </is>
      </c>
      <c r="B22" t="inlineStr">
        <is>
          <t>B15</t>
        </is>
      </c>
      <c r="C22" t="inlineStr">
        <is>
          <t>Active</t>
        </is>
      </c>
      <c r="D22" s="10" t="n">
        <v>185000</v>
      </c>
      <c r="E22" s="10" t="n">
        <v>185000</v>
      </c>
      <c r="F22" s="10" t="n"/>
      <c r="G22" s="10" t="n"/>
      <c r="H22" t="inlineStr">
        <is>
          <t>OK</t>
        </is>
      </c>
    </row>
    <row r="23">
      <c r="A23" t="inlineStr">
        <is>
          <t>L-0122</t>
        </is>
      </c>
      <c r="B23" t="inlineStr">
        <is>
          <t>B16</t>
        </is>
      </c>
      <c r="C23" t="inlineStr">
        <is>
          <t>Active</t>
        </is>
      </c>
      <c r="D23" s="10" t="n">
        <v>185000</v>
      </c>
      <c r="E23" s="10" t="n">
        <v>185000</v>
      </c>
      <c r="F23" s="10" t="n"/>
      <c r="G23" s="10" t="n"/>
      <c r="H23" t="inlineStr">
        <is>
          <t>OK</t>
        </is>
      </c>
    </row>
    <row r="24">
      <c r="A24" t="inlineStr">
        <is>
          <t>L-0123</t>
        </is>
      </c>
      <c r="B24" t="inlineStr">
        <is>
          <t>B17</t>
        </is>
      </c>
      <c r="C24" t="inlineStr">
        <is>
          <t>Active</t>
        </is>
      </c>
      <c r="D24" s="10" t="n">
        <v>160000</v>
      </c>
      <c r="E24" s="10" t="n">
        <v>160000</v>
      </c>
      <c r="F24" s="10" t="n"/>
      <c r="G24" s="10" t="n"/>
      <c r="H24" t="inlineStr">
        <is>
          <t>OK</t>
        </is>
      </c>
    </row>
    <row r="25">
      <c r="A25" t="inlineStr">
        <is>
          <t>L-0124</t>
        </is>
      </c>
      <c r="B25" t="inlineStr">
        <is>
          <t>B18</t>
        </is>
      </c>
      <c r="C25" t="inlineStr">
        <is>
          <t>Active</t>
        </is>
      </c>
      <c r="D25" s="10" t="n">
        <v>140000</v>
      </c>
      <c r="E25" s="10" t="n">
        <v>140000</v>
      </c>
      <c r="F25" s="10" t="n"/>
      <c r="G25" s="10" t="n"/>
      <c r="H2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12" customWidth="1" min="4" max="4"/>
    <col width="10" customWidth="1" min="5" max="5"/>
  </cols>
  <sheetData>
    <row r="1">
      <c r="A1" s="3" t="inlineStr">
        <is>
          <t>Concentration by borrower (active principal)</t>
        </is>
      </c>
    </row>
    <row r="2">
      <c r="A2" s="5" t="inlineStr">
        <is>
          <t>Borrower</t>
        </is>
      </c>
      <c r="B2" s="5" t="inlineStr">
        <is>
          <t>Active principal</t>
        </is>
      </c>
      <c r="C2" s="5" t="inlineStr">
        <is>
          <t>Share</t>
        </is>
      </c>
    </row>
    <row r="3">
      <c r="A3" t="inlineStr">
        <is>
          <t>B03</t>
        </is>
      </c>
      <c r="B3" s="4" t="n">
        <v>330000</v>
      </c>
      <c r="C3" s="12" t="n">
        <v>0.1286549707602339</v>
      </c>
    </row>
    <row r="4">
      <c r="A4" t="inlineStr">
        <is>
          <t>B01</t>
        </is>
      </c>
      <c r="B4" s="4" t="n">
        <v>185000</v>
      </c>
      <c r="C4" s="12" t="n">
        <v>0.07212475633528265</v>
      </c>
    </row>
    <row r="5">
      <c r="A5" t="inlineStr">
        <is>
          <t>B05</t>
        </is>
      </c>
      <c r="B5" s="4" t="n">
        <v>185000</v>
      </c>
      <c r="C5" s="12" t="n">
        <v>0.07212475633528265</v>
      </c>
    </row>
    <row r="6">
      <c r="A6" t="inlineStr">
        <is>
          <t>B14</t>
        </is>
      </c>
      <c r="B6" s="4" t="n">
        <v>185000</v>
      </c>
      <c r="C6" s="12" t="n">
        <v>0.07212475633528265</v>
      </c>
    </row>
    <row r="7">
      <c r="A7" t="inlineStr">
        <is>
          <t>B15</t>
        </is>
      </c>
      <c r="B7" s="4" t="n">
        <v>185000</v>
      </c>
      <c r="C7" s="12" t="n">
        <v>0.07212475633528265</v>
      </c>
    </row>
    <row r="8">
      <c r="A8" t="inlineStr">
        <is>
          <t>B16</t>
        </is>
      </c>
      <c r="B8" s="4" t="n">
        <v>185000</v>
      </c>
      <c r="C8" s="12" t="n">
        <v>0.07212475633528265</v>
      </c>
    </row>
    <row r="9">
      <c r="A9" t="inlineStr">
        <is>
          <t>B10</t>
        </is>
      </c>
      <c r="B9" s="4" t="n">
        <v>160000</v>
      </c>
      <c r="C9" s="12" t="n">
        <v>0.06237816764132553</v>
      </c>
    </row>
    <row r="10">
      <c r="A10" t="inlineStr">
        <is>
          <t>B02</t>
        </is>
      </c>
      <c r="B10" s="4" t="n">
        <v>160000</v>
      </c>
      <c r="C10" s="12" t="n">
        <v>0.06237816764132553</v>
      </c>
    </row>
    <row r="11">
      <c r="A11" t="inlineStr">
        <is>
          <t>B17</t>
        </is>
      </c>
      <c r="B11" s="4" t="n">
        <v>160000</v>
      </c>
      <c r="C11" s="12" t="n">
        <v>0.06237816764132553</v>
      </c>
    </row>
    <row r="12">
      <c r="A12" t="inlineStr">
        <is>
          <t>B11</t>
        </is>
      </c>
      <c r="B12" s="4" t="n">
        <v>160000</v>
      </c>
      <c r="C12" s="12" t="n">
        <v>0.06237816764132553</v>
      </c>
    </row>
    <row r="13">
      <c r="A13" t="inlineStr">
        <is>
          <t>B07</t>
        </is>
      </c>
      <c r="B13" s="4" t="n">
        <v>140000</v>
      </c>
      <c r="C13" s="12" t="n">
        <v>0.05458089668615984</v>
      </c>
    </row>
    <row r="14">
      <c r="A14" t="inlineStr">
        <is>
          <t>B18</t>
        </is>
      </c>
      <c r="B14" s="4" t="n">
        <v>140000</v>
      </c>
      <c r="C14" s="12" t="n">
        <v>0.05458089668615984</v>
      </c>
    </row>
    <row r="15">
      <c r="A15" t="inlineStr">
        <is>
          <t>B13</t>
        </is>
      </c>
      <c r="B15" s="4" t="n">
        <v>110000</v>
      </c>
      <c r="C15" s="12" t="n">
        <v>0.0428849902534113</v>
      </c>
    </row>
    <row r="16">
      <c r="A16" t="inlineStr">
        <is>
          <t>B09</t>
        </is>
      </c>
      <c r="B16" s="4" t="n">
        <v>110000</v>
      </c>
      <c r="C16" s="12" t="n">
        <v>0.0428849902534113</v>
      </c>
    </row>
    <row r="17">
      <c r="A17" t="inlineStr">
        <is>
          <t>B08</t>
        </is>
      </c>
      <c r="B17" s="4" t="n">
        <v>85000</v>
      </c>
      <c r="C17" s="12" t="n">
        <v>0.03313840155945419</v>
      </c>
    </row>
    <row r="18">
      <c r="A18" t="inlineStr">
        <is>
          <t>B12</t>
        </is>
      </c>
      <c r="B18" s="4" t="n">
        <v>85000</v>
      </c>
      <c r="C18" s="12" t="n">
        <v>0.03313840155945419</v>
      </c>
    </row>
    <row r="20">
      <c r="A20" s="3" t="inlineStr">
        <is>
          <t>Loans past maturity</t>
        </is>
      </c>
    </row>
    <row r="21">
      <c r="A21" s="5" t="inlineStr">
        <is>
          <t>Loan</t>
        </is>
      </c>
      <c r="B21" s="5" t="inlineStr">
        <is>
          <t>Borrower</t>
        </is>
      </c>
      <c r="C21" s="5" t="inlineStr">
        <is>
          <t>Principal</t>
        </is>
      </c>
      <c r="D21" s="5" t="inlineStr">
        <is>
          <t>Maturity</t>
        </is>
      </c>
      <c r="E21" s="5" t="inlineStr">
        <is>
          <t>Days past</t>
        </is>
      </c>
    </row>
    <row r="22">
      <c r="A22" t="inlineStr">
        <is>
          <t>L-0105</t>
        </is>
      </c>
      <c r="B22" t="inlineStr">
        <is>
          <t>B03</t>
        </is>
      </c>
      <c r="C22" s="4" t="n">
        <v>110000</v>
      </c>
      <c r="D22" s="13" t="n">
        <v>46205</v>
      </c>
      <c r="E22" t="n">
        <v>121</v>
      </c>
    </row>
    <row r="23">
      <c r="A23" t="inlineStr">
        <is>
          <t>L-0111</t>
        </is>
      </c>
      <c r="B23" t="inlineStr">
        <is>
          <t>B08</t>
        </is>
      </c>
      <c r="C23" s="4" t="n">
        <v>85000</v>
      </c>
      <c r="D23" s="13" t="n">
        <v>46295</v>
      </c>
      <c r="E23" t="n">
        <v>31</v>
      </c>
    </row>
    <row r="25">
      <c r="A25" s="3" t="inlineStr">
        <is>
          <t>Paid-off loans: days from funding to payoff</t>
        </is>
      </c>
    </row>
    <row r="26">
      <c r="A26" t="inlineStr">
        <is>
          <t>Average</t>
        </is>
      </c>
      <c r="B26" t="n">
        <v>165</v>
      </c>
    </row>
    <row r="27">
      <c r="A27" t="inlineStr">
        <is>
          <t>Shortest</t>
        </is>
      </c>
      <c r="B27" t="n">
        <v>147</v>
      </c>
    </row>
    <row r="28">
      <c r="A28" t="inlineStr">
        <is>
          <t>Longest</t>
        </is>
      </c>
      <c r="B28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2" customWidth="1" min="3" max="3"/>
  </cols>
  <sheetData>
    <row r="1">
      <c r="A1" s="5" t="inlineStr">
        <is>
          <t>Input</t>
        </is>
      </c>
      <c r="B1" s="5" t="inlineStr">
        <is>
          <t>Value</t>
        </is>
      </c>
      <c r="C1" s="5" t="inlineStr">
        <is>
          <t>Note</t>
        </is>
      </c>
    </row>
    <row r="2">
      <c r="A2" t="inlineStr">
        <is>
          <t>As-of date</t>
        </is>
      </c>
      <c r="B2" s="14" t="n">
        <v>46326</v>
      </c>
      <c r="C2" t="inlineStr">
        <is>
          <t>Ledger cash is measured on this date</t>
        </is>
      </c>
    </row>
    <row r="3">
      <c r="A3" t="inlineStr">
        <is>
          <t>Payoff delay (months)</t>
        </is>
      </c>
      <c r="B3" s="15" t="n">
        <v>2</v>
      </c>
      <c r="C3" t="inlineStr">
        <is>
          <t>Delayed case: months added to every expected payoff</t>
        </is>
      </c>
    </row>
    <row r="4">
      <c r="A4" t="inlineStr">
        <is>
          <t>New loans per month</t>
        </is>
      </c>
      <c r="B4" s="15" t="n">
        <v>2</v>
      </c>
      <c r="C4" t="inlineStr">
        <is>
          <t>Pipeline assumption - confirm with lender</t>
        </is>
      </c>
    </row>
    <row r="5">
      <c r="A5" t="inlineStr">
        <is>
          <t>Average new loan</t>
        </is>
      </c>
      <c r="B5" s="16" t="n">
        <v>150000</v>
      </c>
      <c r="C5" t="inlineStr">
        <is>
          <t>Average principal of new loans</t>
        </is>
      </c>
    </row>
    <row r="6">
      <c r="A6" t="inlineStr">
        <is>
          <t>Investor distributions per month</t>
        </is>
      </c>
      <c r="B6" s="16" t="n">
        <v>20000</v>
      </c>
      <c r="C6" t="inlineStr">
        <is>
          <t>From ledger history</t>
        </is>
      </c>
    </row>
    <row r="7">
      <c r="A7" t="inlineStr">
        <is>
          <t>Operating costs per month</t>
        </is>
      </c>
      <c r="B7" s="16" t="n">
        <v>8000</v>
      </c>
      <c r="C7" t="inlineStr">
        <is>
          <t>From ledger history</t>
        </is>
      </c>
    </row>
    <row r="8">
      <c r="A8" t="inlineStr">
        <is>
          <t>Minimum cash buffer</t>
        </is>
      </c>
      <c r="B8" s="16" t="n">
        <v>100000</v>
      </c>
      <c r="C8" t="inlineStr">
        <is>
          <t>Cash the lender wants to keep at all times</t>
        </is>
      </c>
    </row>
    <row r="9">
      <c r="A9" t="inlineStr">
        <is>
          <t>Opening cash</t>
        </is>
      </c>
      <c r="B9" s="16" t="n">
        <v>276809.6</v>
      </c>
      <c r="C9" t="inlineStr">
        <is>
          <t>Ledger balance on the as-of date</t>
        </is>
      </c>
    </row>
    <row r="10">
      <c r="A10" t="inlineStr">
        <is>
          <t>Term of new loans (months)</t>
        </is>
      </c>
      <c r="B10" s="15" t="n">
        <v>6</v>
      </c>
      <c r="C10" t="inlineStr">
        <is>
          <t>New loans pay off after this many months</t>
        </is>
      </c>
    </row>
    <row r="11">
      <c r="A11" t="inlineStr">
        <is>
          <t>Interest rate on new loans</t>
        </is>
      </c>
      <c r="B11" s="17" t="n">
        <v>0.12</v>
      </c>
      <c r="C11" t="inlineStr">
        <is>
          <t>Annual, paid at payoff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2" customWidth="1" min="4" max="4"/>
    <col width="14" customWidth="1" min="5" max="5"/>
    <col width="14" customWidth="1" min="6" max="6"/>
    <col width="15" customWidth="1" min="7" max="7"/>
  </cols>
  <sheetData>
    <row r="1">
      <c r="A1" s="5" t="inlineStr">
        <is>
          <t>Loan</t>
        </is>
      </c>
      <c r="B1" s="5" t="inlineStr">
        <is>
          <t>Borrower</t>
        </is>
      </c>
      <c r="C1" s="5" t="inlineStr">
        <is>
          <t>Principal</t>
        </is>
      </c>
      <c r="D1" s="5" t="inlineStr">
        <is>
          <t>Maturity</t>
        </is>
      </c>
      <c r="E1" s="5" t="inlineStr">
        <is>
          <t>Expected payoff month</t>
        </is>
      </c>
      <c r="F1" s="5" t="inlineStr">
        <is>
          <t>Delayed payoff month</t>
        </is>
      </c>
      <c r="G1" s="5" t="inlineStr">
        <is>
          <t>Payoff amount</t>
        </is>
      </c>
    </row>
    <row r="2">
      <c r="A2" t="inlineStr">
        <is>
          <t>L-0101</t>
        </is>
      </c>
      <c r="B2" t="inlineStr">
        <is>
          <t>B01</t>
        </is>
      </c>
      <c r="C2" s="4" t="n">
        <v>185000</v>
      </c>
      <c r="D2" s="13" t="n">
        <v>46331</v>
      </c>
      <c r="E2" s="18">
        <f>IF(D2&lt;=Assumptions!$B$2,EOMONTH(Assumptions!$B$2,1),EOMONTH(D2,0))</f>
        <v/>
      </c>
      <c r="F2" s="18">
        <f>EOMONTH(E2,Assumptions!$B$3)</f>
        <v/>
      </c>
      <c r="G2" s="10">
        <f>C2*(1+0.12*12/12)</f>
        <v/>
      </c>
    </row>
    <row r="3">
      <c r="A3" t="inlineStr">
        <is>
          <t>L-0104</t>
        </is>
      </c>
      <c r="B3" t="inlineStr">
        <is>
          <t>B03</t>
        </is>
      </c>
      <c r="C3" s="4" t="n">
        <v>110000</v>
      </c>
      <c r="D3" s="13" t="n">
        <v>46374</v>
      </c>
      <c r="E3" s="18">
        <f>IF(D3&lt;=Assumptions!$B$2,EOMONTH(Assumptions!$B$2,1),EOMONTH(D3,0))</f>
        <v/>
      </c>
      <c r="F3" s="18">
        <f>EOMONTH(E3,Assumptions!$B$3)</f>
        <v/>
      </c>
      <c r="G3" s="10">
        <f>C3*(1+0.12*12/12)</f>
        <v/>
      </c>
    </row>
    <row r="4">
      <c r="A4" t="inlineStr">
        <is>
          <t>L-0105</t>
        </is>
      </c>
      <c r="B4" t="inlineStr">
        <is>
          <t>B03</t>
        </is>
      </c>
      <c r="C4" s="4" t="n">
        <v>110000</v>
      </c>
      <c r="D4" s="13" t="n">
        <v>46205</v>
      </c>
      <c r="E4" s="18">
        <f>IF(D4&lt;=Assumptions!$B$2,EOMONTH(Assumptions!$B$2,1),EOMONTH(D4,0))</f>
        <v/>
      </c>
      <c r="F4" s="18">
        <f>EOMONTH(E4,Assumptions!$B$3)</f>
        <v/>
      </c>
      <c r="G4" s="10">
        <f>C4*(1+0.12*6/12)</f>
        <v/>
      </c>
    </row>
    <row r="5">
      <c r="A5" t="inlineStr">
        <is>
          <t>L-0107</t>
        </is>
      </c>
      <c r="B5" t="inlineStr">
        <is>
          <t>B05</t>
        </is>
      </c>
      <c r="C5" s="4" t="n">
        <v>185000</v>
      </c>
      <c r="D5" s="13" t="n">
        <v>46418</v>
      </c>
      <c r="E5" s="18">
        <f>IF(D5&lt;=Assumptions!$B$2,EOMONTH(Assumptions!$B$2,1),EOMONTH(D5,0))</f>
        <v/>
      </c>
      <c r="F5" s="18">
        <f>EOMONTH(E5,Assumptions!$B$3)</f>
        <v/>
      </c>
      <c r="G5" s="10">
        <f>C5*(1+0.12*12/12)</f>
        <v/>
      </c>
    </row>
    <row r="6">
      <c r="A6" t="inlineStr">
        <is>
          <t>L-0110</t>
        </is>
      </c>
      <c r="B6" t="inlineStr">
        <is>
          <t>B07</t>
        </is>
      </c>
      <c r="C6" s="4" t="n">
        <v>140000</v>
      </c>
      <c r="D6" s="13" t="n">
        <v>46461</v>
      </c>
      <c r="E6" s="18">
        <f>IF(D6&lt;=Assumptions!$B$2,EOMONTH(Assumptions!$B$2,1),EOMONTH(D6,0))</f>
        <v/>
      </c>
      <c r="F6" s="18">
        <f>EOMONTH(E6,Assumptions!$B$3)</f>
        <v/>
      </c>
      <c r="G6" s="10">
        <f>C6*(1+0.12*12/12)</f>
        <v/>
      </c>
    </row>
    <row r="7">
      <c r="A7" t="inlineStr">
        <is>
          <t>L-0111</t>
        </is>
      </c>
      <c r="B7" t="inlineStr">
        <is>
          <t>B08</t>
        </is>
      </c>
      <c r="C7" s="4" t="n">
        <v>85000</v>
      </c>
      <c r="D7" s="13" t="n">
        <v>46295</v>
      </c>
      <c r="E7" s="18">
        <f>IF(D7&lt;=Assumptions!$B$2,EOMONTH(Assumptions!$B$2,1),EOMONTH(D7,0))</f>
        <v/>
      </c>
      <c r="F7" s="18">
        <f>EOMONTH(E7,Assumptions!$B$3)</f>
        <v/>
      </c>
      <c r="G7" s="10">
        <f>C7*(1+0.12*6/12)</f>
        <v/>
      </c>
    </row>
    <row r="8">
      <c r="A8" t="inlineStr">
        <is>
          <t>L-0113</t>
        </is>
      </c>
      <c r="B8" t="inlineStr">
        <is>
          <t>B09</t>
        </is>
      </c>
      <c r="C8" s="4" t="n">
        <v>110000</v>
      </c>
      <c r="D8" s="13" t="n">
        <v>46505</v>
      </c>
      <c r="E8" s="18">
        <f>IF(D8&lt;=Assumptions!$B$2,EOMONTH(Assumptions!$B$2,1),EOMONTH(D8,0))</f>
        <v/>
      </c>
      <c r="F8" s="18">
        <f>EOMONTH(E8,Assumptions!$B$3)</f>
        <v/>
      </c>
      <c r="G8" s="10">
        <f>C8*(1+0.12*12/12)</f>
        <v/>
      </c>
    </row>
    <row r="9">
      <c r="A9" t="inlineStr">
        <is>
          <t>L-0114</t>
        </is>
      </c>
      <c r="B9" t="inlineStr">
        <is>
          <t>B03</t>
        </is>
      </c>
      <c r="C9" s="4" t="n">
        <v>110000</v>
      </c>
      <c r="D9" s="13" t="n">
        <v>46338</v>
      </c>
      <c r="E9" s="18">
        <f>IF(D9&lt;=Assumptions!$B$2,EOMONTH(Assumptions!$B$2,1),EOMONTH(D9,0))</f>
        <v/>
      </c>
      <c r="F9" s="18">
        <f>EOMONTH(E9,Assumptions!$B$3)</f>
        <v/>
      </c>
      <c r="G9" s="10">
        <f>C9*(1+0.12*6/12)</f>
        <v/>
      </c>
    </row>
    <row r="10">
      <c r="A10" t="inlineStr">
        <is>
          <t>L-0115</t>
        </is>
      </c>
      <c r="B10" t="inlineStr">
        <is>
          <t>B10</t>
        </is>
      </c>
      <c r="C10" s="4" t="n">
        <v>160000</v>
      </c>
      <c r="D10" s="13" t="n">
        <v>46353</v>
      </c>
      <c r="E10" s="18">
        <f>IF(D10&lt;=Assumptions!$B$2,EOMONTH(Assumptions!$B$2,1),EOMONTH(D10,0))</f>
        <v/>
      </c>
      <c r="F10" s="18">
        <f>EOMONTH(E10,Assumptions!$B$3)</f>
        <v/>
      </c>
      <c r="G10" s="10">
        <f>C10*(1+0.12*6/12)</f>
        <v/>
      </c>
    </row>
    <row r="11">
      <c r="A11" t="inlineStr">
        <is>
          <t>L-0116</t>
        </is>
      </c>
      <c r="B11" t="inlineStr">
        <is>
          <t>B11</t>
        </is>
      </c>
      <c r="C11" s="4" t="n">
        <v>160000</v>
      </c>
      <c r="D11" s="13" t="n">
        <v>46548</v>
      </c>
      <c r="E11" s="18">
        <f>IF(D11&lt;=Assumptions!$B$2,EOMONTH(Assumptions!$B$2,1),EOMONTH(D11,0))</f>
        <v/>
      </c>
      <c r="F11" s="18">
        <f>EOMONTH(E11,Assumptions!$B$3)</f>
        <v/>
      </c>
      <c r="G11" s="10">
        <f>C11*(1+0.12*12/12)</f>
        <v/>
      </c>
    </row>
    <row r="12">
      <c r="A12" t="inlineStr">
        <is>
          <t>L-0117</t>
        </is>
      </c>
      <c r="B12" t="inlineStr">
        <is>
          <t>B12</t>
        </is>
      </c>
      <c r="C12" s="4" t="n">
        <v>85000</v>
      </c>
      <c r="D12" s="13" t="n">
        <v>46381</v>
      </c>
      <c r="E12" s="18">
        <f>IF(D12&lt;=Assumptions!$B$2,EOMONTH(Assumptions!$B$2,1),EOMONTH(D12,0))</f>
        <v/>
      </c>
      <c r="F12" s="18">
        <f>EOMONTH(E12,Assumptions!$B$3)</f>
        <v/>
      </c>
      <c r="G12" s="10">
        <f>C12*(1+0.12*6/12)</f>
        <v/>
      </c>
    </row>
    <row r="13">
      <c r="A13" t="inlineStr">
        <is>
          <t>L-0118</t>
        </is>
      </c>
      <c r="B13" t="inlineStr">
        <is>
          <t>B02</t>
        </is>
      </c>
      <c r="C13" s="4" t="n">
        <v>160000</v>
      </c>
      <c r="D13" s="13" t="n">
        <v>46396</v>
      </c>
      <c r="E13" s="18">
        <f>IF(D13&lt;=Assumptions!$B$2,EOMONTH(Assumptions!$B$2,1),EOMONTH(D13,0))</f>
        <v/>
      </c>
      <c r="F13" s="18">
        <f>EOMONTH(E13,Assumptions!$B$3)</f>
        <v/>
      </c>
      <c r="G13" s="10">
        <f>C13*(1+0.12*6/12)</f>
        <v/>
      </c>
    </row>
    <row r="14">
      <c r="A14" t="inlineStr">
        <is>
          <t>L-0119</t>
        </is>
      </c>
      <c r="B14" t="inlineStr">
        <is>
          <t>B13</t>
        </is>
      </c>
      <c r="C14" s="4" t="n">
        <v>110000</v>
      </c>
      <c r="D14" s="13" t="n">
        <v>46592</v>
      </c>
      <c r="E14" s="18">
        <f>IF(D14&lt;=Assumptions!$B$2,EOMONTH(Assumptions!$B$2,1),EOMONTH(D14,0))</f>
        <v/>
      </c>
      <c r="F14" s="18">
        <f>EOMONTH(E14,Assumptions!$B$3)</f>
        <v/>
      </c>
      <c r="G14" s="10">
        <f>C14*(1+0.12*12/12)</f>
        <v/>
      </c>
    </row>
    <row r="15">
      <c r="A15" t="inlineStr">
        <is>
          <t>L-0120</t>
        </is>
      </c>
      <c r="B15" t="inlineStr">
        <is>
          <t>B14</t>
        </is>
      </c>
      <c r="C15" s="4" t="n">
        <v>185000</v>
      </c>
      <c r="D15" s="13" t="n">
        <v>46425</v>
      </c>
      <c r="E15" s="18">
        <f>IF(D15&lt;=Assumptions!$B$2,EOMONTH(Assumptions!$B$2,1),EOMONTH(D15,0))</f>
        <v/>
      </c>
      <c r="F15" s="18">
        <f>EOMONTH(E15,Assumptions!$B$3)</f>
        <v/>
      </c>
      <c r="G15" s="10">
        <f>C15*(1+0.12*6/12)</f>
        <v/>
      </c>
    </row>
    <row r="16">
      <c r="A16" t="inlineStr">
        <is>
          <t>L-0121</t>
        </is>
      </c>
      <c r="B16" t="inlineStr">
        <is>
          <t>B15</t>
        </is>
      </c>
      <c r="C16" s="4" t="n">
        <v>185000</v>
      </c>
      <c r="D16" s="13" t="n">
        <v>46440</v>
      </c>
      <c r="E16" s="18">
        <f>IF(D16&lt;=Assumptions!$B$2,EOMONTH(Assumptions!$B$2,1),EOMONTH(D16,0))</f>
        <v/>
      </c>
      <c r="F16" s="18">
        <f>EOMONTH(E16,Assumptions!$B$3)</f>
        <v/>
      </c>
      <c r="G16" s="10">
        <f>C16*(1+0.12*6/12)</f>
        <v/>
      </c>
    </row>
    <row r="17">
      <c r="A17" t="inlineStr">
        <is>
          <t>L-0122</t>
        </is>
      </c>
      <c r="B17" t="inlineStr">
        <is>
          <t>B16</t>
        </is>
      </c>
      <c r="C17" s="4" t="n">
        <v>185000</v>
      </c>
      <c r="D17" s="13" t="n">
        <v>46635</v>
      </c>
      <c r="E17" s="18">
        <f>IF(D17&lt;=Assumptions!$B$2,EOMONTH(Assumptions!$B$2,1),EOMONTH(D17,0))</f>
        <v/>
      </c>
      <c r="F17" s="18">
        <f>EOMONTH(E17,Assumptions!$B$3)</f>
        <v/>
      </c>
      <c r="G17" s="10">
        <f>C17*(1+0.12*12/12)</f>
        <v/>
      </c>
    </row>
    <row r="18">
      <c r="A18" t="inlineStr">
        <is>
          <t>L-0123</t>
        </is>
      </c>
      <c r="B18" t="inlineStr">
        <is>
          <t>B17</t>
        </is>
      </c>
      <c r="C18" s="4" t="n">
        <v>160000</v>
      </c>
      <c r="D18" s="13" t="n">
        <v>46466</v>
      </c>
      <c r="E18" s="18">
        <f>IF(D18&lt;=Assumptions!$B$2,EOMONTH(Assumptions!$B$2,1),EOMONTH(D18,0))</f>
        <v/>
      </c>
      <c r="F18" s="18">
        <f>EOMONTH(E18,Assumptions!$B$3)</f>
        <v/>
      </c>
      <c r="G18" s="10">
        <f>C18*(1+0.12*6/12)</f>
        <v/>
      </c>
    </row>
    <row r="19">
      <c r="A19" t="inlineStr">
        <is>
          <t>L-0124</t>
        </is>
      </c>
      <c r="B19" t="inlineStr">
        <is>
          <t>B18</t>
        </is>
      </c>
      <c r="C19" s="4" t="n">
        <v>140000</v>
      </c>
      <c r="D19" s="13" t="n">
        <v>46481</v>
      </c>
      <c r="E19" s="18">
        <f>IF(D19&lt;=Assumptions!$B$2,EOMONTH(Assumptions!$B$2,1),EOMONTH(D19,0))</f>
        <v/>
      </c>
      <c r="F19" s="18">
        <f>EOMONTH(E19,Assumptions!$B$3)</f>
        <v/>
      </c>
      <c r="G19" s="10">
        <f>C19*(1+0.12*6/12)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3" customWidth="1" min="4" max="4"/>
    <col width="14" customWidth="1" min="5" max="5"/>
    <col width="14" customWidth="1" min="6" max="6"/>
    <col width="13" customWidth="1" min="7" max="7"/>
    <col width="12" customWidth="1" min="8" max="8"/>
    <col width="15" customWidth="1" min="9" max="9"/>
    <col width="15" customWidth="1" min="10" max="10"/>
  </cols>
  <sheetData>
    <row r="1">
      <c r="A1" s="19" t="inlineStr">
        <is>
          <t>12-month cash forecast: base vs delayed payoffs</t>
        </is>
      </c>
    </row>
    <row r="2">
      <c r="A2" t="inlineStr">
        <is>
          <t>Edit the yellow inputs in Assumptions; every figure below recalculates.</t>
        </is>
      </c>
    </row>
    <row r="3" ht="45" customHeight="1">
      <c r="A3" s="5" t="inlineStr">
        <is>
          <t>Month</t>
        </is>
      </c>
      <c r="B3" s="5" t="inlineStr">
        <is>
          <t>Payoffs, existing loans (base)</t>
        </is>
      </c>
      <c r="C3" s="5" t="inlineStr">
        <is>
          <t>Payoffs, existing loans (delayed)</t>
        </is>
      </c>
      <c r="D3" s="5" t="inlineStr">
        <is>
          <t>New fundings</t>
        </is>
      </c>
      <c r="E3" s="5" t="inlineStr">
        <is>
          <t>Payoffs, new loans (base)</t>
        </is>
      </c>
      <c r="F3" s="5" t="inlineStr">
        <is>
          <t>Payoffs, new loans (delayed)</t>
        </is>
      </c>
      <c r="G3" s="5" t="inlineStr">
        <is>
          <t>Investor distributions</t>
        </is>
      </c>
      <c r="H3" s="5" t="inlineStr">
        <is>
          <t>Operating costs</t>
        </is>
      </c>
      <c r="I3" s="5" t="inlineStr">
        <is>
          <t>Closing cash (base)</t>
        </is>
      </c>
      <c r="J3" s="5" t="inlineStr">
        <is>
          <t>Closing cash (delayed)</t>
        </is>
      </c>
    </row>
    <row r="4">
      <c r="A4" s="18">
        <f>EOMONTH(Assumptions!$B$2,1)</f>
        <v/>
      </c>
      <c r="B4" s="4">
        <f>SUMIFS(Loans!$G$2:$G$19,Loans!$E$2:$E$19,A4)</f>
        <v/>
      </c>
      <c r="C4" s="4">
        <f>SUMIFS(Loans!$G$2:$G$19,Loans!$F$2:$F$19,A4)</f>
        <v/>
      </c>
      <c r="D4" s="4">
        <f>Assumptions!$B$4*Assumptions!$B$5</f>
        <v/>
      </c>
      <c r="E4" s="4">
        <f>IF(ROW()-3&gt;Assumptions!$B$10,OFFSET(D4,-Assumptions!$B$10,0)*(1+Assumptions!$B$11*Assumptions!$B$10/12),0)</f>
        <v/>
      </c>
      <c r="F4" s="4">
        <f>IF(ROW()-3&gt;Assumptions!$B$10+Assumptions!$B$3,OFFSET(D4,-(Assumptions!$B$10+Assumptions!$B$3),0)*(1+Assumptions!$B$11*Assumptions!$B$10/12),0)</f>
        <v/>
      </c>
      <c r="G4" s="4">
        <f>Assumptions!$B$6</f>
        <v/>
      </c>
      <c r="H4" s="4">
        <f>Assumptions!$B$7</f>
        <v/>
      </c>
      <c r="I4" s="4">
        <f>Assumptions!$B$9+B4+E4-D4-G4-H4</f>
        <v/>
      </c>
      <c r="J4" s="4">
        <f>Assumptions!$B$9+C4+F4-D4-G4-H4</f>
        <v/>
      </c>
    </row>
    <row r="5">
      <c r="A5" s="18">
        <f>EOMONTH(Assumptions!$B$2,2)</f>
        <v/>
      </c>
      <c r="B5" s="4">
        <f>SUMIFS(Loans!$G$2:$G$19,Loans!$E$2:$E$19,A5)</f>
        <v/>
      </c>
      <c r="C5" s="4">
        <f>SUMIFS(Loans!$G$2:$G$19,Loans!$F$2:$F$19,A5)</f>
        <v/>
      </c>
      <c r="D5" s="4">
        <f>Assumptions!$B$4*Assumptions!$B$5</f>
        <v/>
      </c>
      <c r="E5" s="4">
        <f>IF(ROW()-3&gt;Assumptions!$B$10,OFFSET(D5,-Assumptions!$B$10,0)*(1+Assumptions!$B$11*Assumptions!$B$10/12),0)</f>
        <v/>
      </c>
      <c r="F5" s="4">
        <f>IF(ROW()-3&gt;Assumptions!$B$10+Assumptions!$B$3,OFFSET(D5,-(Assumptions!$B$10+Assumptions!$B$3),0)*(1+Assumptions!$B$11*Assumptions!$B$10/12),0)</f>
        <v/>
      </c>
      <c r="G5" s="4">
        <f>Assumptions!$B$6</f>
        <v/>
      </c>
      <c r="H5" s="4">
        <f>Assumptions!$B$7</f>
        <v/>
      </c>
      <c r="I5" s="4">
        <f>I4+B5+E5-D5-G5-H5</f>
        <v/>
      </c>
      <c r="J5" s="4">
        <f>J4+C5+F5-D5-G5-H5</f>
        <v/>
      </c>
    </row>
    <row r="6">
      <c r="A6" s="18">
        <f>EOMONTH(Assumptions!$B$2,3)</f>
        <v/>
      </c>
      <c r="B6" s="4">
        <f>SUMIFS(Loans!$G$2:$G$19,Loans!$E$2:$E$19,A6)</f>
        <v/>
      </c>
      <c r="C6" s="4">
        <f>SUMIFS(Loans!$G$2:$G$19,Loans!$F$2:$F$19,A6)</f>
        <v/>
      </c>
      <c r="D6" s="4">
        <f>Assumptions!$B$4*Assumptions!$B$5</f>
        <v/>
      </c>
      <c r="E6" s="4">
        <f>IF(ROW()-3&gt;Assumptions!$B$10,OFFSET(D6,-Assumptions!$B$10,0)*(1+Assumptions!$B$11*Assumptions!$B$10/12),0)</f>
        <v/>
      </c>
      <c r="F6" s="4">
        <f>IF(ROW()-3&gt;Assumptions!$B$10+Assumptions!$B$3,OFFSET(D6,-(Assumptions!$B$10+Assumptions!$B$3),0)*(1+Assumptions!$B$11*Assumptions!$B$10/12),0)</f>
        <v/>
      </c>
      <c r="G6" s="4">
        <f>Assumptions!$B$6</f>
        <v/>
      </c>
      <c r="H6" s="4">
        <f>Assumptions!$B$7</f>
        <v/>
      </c>
      <c r="I6" s="4">
        <f>I5+B6+E6-D6-G6-H6</f>
        <v/>
      </c>
      <c r="J6" s="4">
        <f>J5+C6+F6-D6-G6-H6</f>
        <v/>
      </c>
    </row>
    <row r="7">
      <c r="A7" s="18">
        <f>EOMONTH(Assumptions!$B$2,4)</f>
        <v/>
      </c>
      <c r="B7" s="4">
        <f>SUMIFS(Loans!$G$2:$G$19,Loans!$E$2:$E$19,A7)</f>
        <v/>
      </c>
      <c r="C7" s="4">
        <f>SUMIFS(Loans!$G$2:$G$19,Loans!$F$2:$F$19,A7)</f>
        <v/>
      </c>
      <c r="D7" s="4">
        <f>Assumptions!$B$4*Assumptions!$B$5</f>
        <v/>
      </c>
      <c r="E7" s="4">
        <f>IF(ROW()-3&gt;Assumptions!$B$10,OFFSET(D7,-Assumptions!$B$10,0)*(1+Assumptions!$B$11*Assumptions!$B$10/12),0)</f>
        <v/>
      </c>
      <c r="F7" s="4">
        <f>IF(ROW()-3&gt;Assumptions!$B$10+Assumptions!$B$3,OFFSET(D7,-(Assumptions!$B$10+Assumptions!$B$3),0)*(1+Assumptions!$B$11*Assumptions!$B$10/12),0)</f>
        <v/>
      </c>
      <c r="G7" s="4">
        <f>Assumptions!$B$6</f>
        <v/>
      </c>
      <c r="H7" s="4">
        <f>Assumptions!$B$7</f>
        <v/>
      </c>
      <c r="I7" s="4">
        <f>I6+B7+E7-D7-G7-H7</f>
        <v/>
      </c>
      <c r="J7" s="4">
        <f>J6+C7+F7-D7-G7-H7</f>
        <v/>
      </c>
    </row>
    <row r="8">
      <c r="A8" s="18">
        <f>EOMONTH(Assumptions!$B$2,5)</f>
        <v/>
      </c>
      <c r="B8" s="4">
        <f>SUMIFS(Loans!$G$2:$G$19,Loans!$E$2:$E$19,A8)</f>
        <v/>
      </c>
      <c r="C8" s="4">
        <f>SUMIFS(Loans!$G$2:$G$19,Loans!$F$2:$F$19,A8)</f>
        <v/>
      </c>
      <c r="D8" s="4">
        <f>Assumptions!$B$4*Assumptions!$B$5</f>
        <v/>
      </c>
      <c r="E8" s="4">
        <f>IF(ROW()-3&gt;Assumptions!$B$10,OFFSET(D8,-Assumptions!$B$10,0)*(1+Assumptions!$B$11*Assumptions!$B$10/12),0)</f>
        <v/>
      </c>
      <c r="F8" s="4">
        <f>IF(ROW()-3&gt;Assumptions!$B$10+Assumptions!$B$3,OFFSET(D8,-(Assumptions!$B$10+Assumptions!$B$3),0)*(1+Assumptions!$B$11*Assumptions!$B$10/12),0)</f>
        <v/>
      </c>
      <c r="G8" s="4">
        <f>Assumptions!$B$6</f>
        <v/>
      </c>
      <c r="H8" s="4">
        <f>Assumptions!$B$7</f>
        <v/>
      </c>
      <c r="I8" s="4">
        <f>I7+B8+E8-D8-G8-H8</f>
        <v/>
      </c>
      <c r="J8" s="4">
        <f>J7+C8+F8-D8-G8-H8</f>
        <v/>
      </c>
    </row>
    <row r="9">
      <c r="A9" s="18">
        <f>EOMONTH(Assumptions!$B$2,6)</f>
        <v/>
      </c>
      <c r="B9" s="4">
        <f>SUMIFS(Loans!$G$2:$G$19,Loans!$E$2:$E$19,A9)</f>
        <v/>
      </c>
      <c r="C9" s="4">
        <f>SUMIFS(Loans!$G$2:$G$19,Loans!$F$2:$F$19,A9)</f>
        <v/>
      </c>
      <c r="D9" s="4">
        <f>Assumptions!$B$4*Assumptions!$B$5</f>
        <v/>
      </c>
      <c r="E9" s="4">
        <f>IF(ROW()-3&gt;Assumptions!$B$10,OFFSET(D9,-Assumptions!$B$10,0)*(1+Assumptions!$B$11*Assumptions!$B$10/12),0)</f>
        <v/>
      </c>
      <c r="F9" s="4">
        <f>IF(ROW()-3&gt;Assumptions!$B$10+Assumptions!$B$3,OFFSET(D9,-(Assumptions!$B$10+Assumptions!$B$3),0)*(1+Assumptions!$B$11*Assumptions!$B$10/12),0)</f>
        <v/>
      </c>
      <c r="G9" s="4">
        <f>Assumptions!$B$6</f>
        <v/>
      </c>
      <c r="H9" s="4">
        <f>Assumptions!$B$7</f>
        <v/>
      </c>
      <c r="I9" s="4">
        <f>I8+B9+E9-D9-G9-H9</f>
        <v/>
      </c>
      <c r="J9" s="4">
        <f>J8+C9+F9-D9-G9-H9</f>
        <v/>
      </c>
    </row>
    <row r="10">
      <c r="A10" s="18">
        <f>EOMONTH(Assumptions!$B$2,7)</f>
        <v/>
      </c>
      <c r="B10" s="4">
        <f>SUMIFS(Loans!$G$2:$G$19,Loans!$E$2:$E$19,A10)</f>
        <v/>
      </c>
      <c r="C10" s="4">
        <f>SUMIFS(Loans!$G$2:$G$19,Loans!$F$2:$F$19,A10)</f>
        <v/>
      </c>
      <c r="D10" s="4">
        <f>Assumptions!$B$4*Assumptions!$B$5</f>
        <v/>
      </c>
      <c r="E10" s="4">
        <f>IF(ROW()-3&gt;Assumptions!$B$10,OFFSET(D10,-Assumptions!$B$10,0)*(1+Assumptions!$B$11*Assumptions!$B$10/12),0)</f>
        <v/>
      </c>
      <c r="F10" s="4">
        <f>IF(ROW()-3&gt;Assumptions!$B$10+Assumptions!$B$3,OFFSET(D10,-(Assumptions!$B$10+Assumptions!$B$3),0)*(1+Assumptions!$B$11*Assumptions!$B$10/12),0)</f>
        <v/>
      </c>
      <c r="G10" s="4">
        <f>Assumptions!$B$6</f>
        <v/>
      </c>
      <c r="H10" s="4">
        <f>Assumptions!$B$7</f>
        <v/>
      </c>
      <c r="I10" s="4">
        <f>I9+B10+E10-D10-G10-H10</f>
        <v/>
      </c>
      <c r="J10" s="4">
        <f>J9+C10+F10-D10-G10-H10</f>
        <v/>
      </c>
    </row>
    <row r="11">
      <c r="A11" s="18">
        <f>EOMONTH(Assumptions!$B$2,8)</f>
        <v/>
      </c>
      <c r="B11" s="4">
        <f>SUMIFS(Loans!$G$2:$G$19,Loans!$E$2:$E$19,A11)</f>
        <v/>
      </c>
      <c r="C11" s="4">
        <f>SUMIFS(Loans!$G$2:$G$19,Loans!$F$2:$F$19,A11)</f>
        <v/>
      </c>
      <c r="D11" s="4">
        <f>Assumptions!$B$4*Assumptions!$B$5</f>
        <v/>
      </c>
      <c r="E11" s="4">
        <f>IF(ROW()-3&gt;Assumptions!$B$10,OFFSET(D11,-Assumptions!$B$10,0)*(1+Assumptions!$B$11*Assumptions!$B$10/12),0)</f>
        <v/>
      </c>
      <c r="F11" s="4">
        <f>IF(ROW()-3&gt;Assumptions!$B$10+Assumptions!$B$3,OFFSET(D11,-(Assumptions!$B$10+Assumptions!$B$3),0)*(1+Assumptions!$B$11*Assumptions!$B$10/12),0)</f>
        <v/>
      </c>
      <c r="G11" s="4">
        <f>Assumptions!$B$6</f>
        <v/>
      </c>
      <c r="H11" s="4">
        <f>Assumptions!$B$7</f>
        <v/>
      </c>
      <c r="I11" s="4">
        <f>I10+B11+E11-D11-G11-H11</f>
        <v/>
      </c>
      <c r="J11" s="4">
        <f>J10+C11+F11-D11-G11-H11</f>
        <v/>
      </c>
    </row>
    <row r="12">
      <c r="A12" s="18">
        <f>EOMONTH(Assumptions!$B$2,9)</f>
        <v/>
      </c>
      <c r="B12" s="4">
        <f>SUMIFS(Loans!$G$2:$G$19,Loans!$E$2:$E$19,A12)</f>
        <v/>
      </c>
      <c r="C12" s="4">
        <f>SUMIFS(Loans!$G$2:$G$19,Loans!$F$2:$F$19,A12)</f>
        <v/>
      </c>
      <c r="D12" s="4">
        <f>Assumptions!$B$4*Assumptions!$B$5</f>
        <v/>
      </c>
      <c r="E12" s="4">
        <f>IF(ROW()-3&gt;Assumptions!$B$10,OFFSET(D12,-Assumptions!$B$10,0)*(1+Assumptions!$B$11*Assumptions!$B$10/12),0)</f>
        <v/>
      </c>
      <c r="F12" s="4">
        <f>IF(ROW()-3&gt;Assumptions!$B$10+Assumptions!$B$3,OFFSET(D12,-(Assumptions!$B$10+Assumptions!$B$3),0)*(1+Assumptions!$B$11*Assumptions!$B$10/12),0)</f>
        <v/>
      </c>
      <c r="G12" s="4">
        <f>Assumptions!$B$6</f>
        <v/>
      </c>
      <c r="H12" s="4">
        <f>Assumptions!$B$7</f>
        <v/>
      </c>
      <c r="I12" s="4">
        <f>I11+B12+E12-D12-G12-H12</f>
        <v/>
      </c>
      <c r="J12" s="4">
        <f>J11+C12+F12-D12-G12-H12</f>
        <v/>
      </c>
    </row>
    <row r="13">
      <c r="A13" s="18">
        <f>EOMONTH(Assumptions!$B$2,10)</f>
        <v/>
      </c>
      <c r="B13" s="4">
        <f>SUMIFS(Loans!$G$2:$G$19,Loans!$E$2:$E$19,A13)</f>
        <v/>
      </c>
      <c r="C13" s="4">
        <f>SUMIFS(Loans!$G$2:$G$19,Loans!$F$2:$F$19,A13)</f>
        <v/>
      </c>
      <c r="D13" s="4">
        <f>Assumptions!$B$4*Assumptions!$B$5</f>
        <v/>
      </c>
      <c r="E13" s="4">
        <f>IF(ROW()-3&gt;Assumptions!$B$10,OFFSET(D13,-Assumptions!$B$10,0)*(1+Assumptions!$B$11*Assumptions!$B$10/12),0)</f>
        <v/>
      </c>
      <c r="F13" s="4">
        <f>IF(ROW()-3&gt;Assumptions!$B$10+Assumptions!$B$3,OFFSET(D13,-(Assumptions!$B$10+Assumptions!$B$3),0)*(1+Assumptions!$B$11*Assumptions!$B$10/12),0)</f>
        <v/>
      </c>
      <c r="G13" s="4">
        <f>Assumptions!$B$6</f>
        <v/>
      </c>
      <c r="H13" s="4">
        <f>Assumptions!$B$7</f>
        <v/>
      </c>
      <c r="I13" s="4">
        <f>I12+B13+E13-D13-G13-H13</f>
        <v/>
      </c>
      <c r="J13" s="4">
        <f>J12+C13+F13-D13-G13-H13</f>
        <v/>
      </c>
    </row>
    <row r="14">
      <c r="A14" s="18">
        <f>EOMONTH(Assumptions!$B$2,11)</f>
        <v/>
      </c>
      <c r="B14" s="4">
        <f>SUMIFS(Loans!$G$2:$G$19,Loans!$E$2:$E$19,A14)</f>
        <v/>
      </c>
      <c r="C14" s="4">
        <f>SUMIFS(Loans!$G$2:$G$19,Loans!$F$2:$F$19,A14)</f>
        <v/>
      </c>
      <c r="D14" s="4">
        <f>Assumptions!$B$4*Assumptions!$B$5</f>
        <v/>
      </c>
      <c r="E14" s="4">
        <f>IF(ROW()-3&gt;Assumptions!$B$10,OFFSET(D14,-Assumptions!$B$10,0)*(1+Assumptions!$B$11*Assumptions!$B$10/12),0)</f>
        <v/>
      </c>
      <c r="F14" s="4">
        <f>IF(ROW()-3&gt;Assumptions!$B$10+Assumptions!$B$3,OFFSET(D14,-(Assumptions!$B$10+Assumptions!$B$3),0)*(1+Assumptions!$B$11*Assumptions!$B$10/12),0)</f>
        <v/>
      </c>
      <c r="G14" s="4">
        <f>Assumptions!$B$6</f>
        <v/>
      </c>
      <c r="H14" s="4">
        <f>Assumptions!$B$7</f>
        <v/>
      </c>
      <c r="I14" s="4">
        <f>I13+B14+E14-D14-G14-H14</f>
        <v/>
      </c>
      <c r="J14" s="4">
        <f>J13+C14+F14-D14-G14-H14</f>
        <v/>
      </c>
    </row>
    <row r="15">
      <c r="A15" s="18">
        <f>EOMONTH(Assumptions!$B$2,12)</f>
        <v/>
      </c>
      <c r="B15" s="4">
        <f>SUMIFS(Loans!$G$2:$G$19,Loans!$E$2:$E$19,A15)</f>
        <v/>
      </c>
      <c r="C15" s="4">
        <f>SUMIFS(Loans!$G$2:$G$19,Loans!$F$2:$F$19,A15)</f>
        <v/>
      </c>
      <c r="D15" s="4">
        <f>Assumptions!$B$4*Assumptions!$B$5</f>
        <v/>
      </c>
      <c r="E15" s="4">
        <f>IF(ROW()-3&gt;Assumptions!$B$10,OFFSET(D15,-Assumptions!$B$10,0)*(1+Assumptions!$B$11*Assumptions!$B$10/12),0)</f>
        <v/>
      </c>
      <c r="F15" s="4">
        <f>IF(ROW()-3&gt;Assumptions!$B$10+Assumptions!$B$3,OFFSET(D15,-(Assumptions!$B$10+Assumptions!$B$3),0)*(1+Assumptions!$B$11*Assumptions!$B$10/12),0)</f>
        <v/>
      </c>
      <c r="G15" s="4">
        <f>Assumptions!$B$6</f>
        <v/>
      </c>
      <c r="H15" s="4">
        <f>Assumptions!$B$7</f>
        <v/>
      </c>
      <c r="I15" s="4">
        <f>I14+B15+E15-D15-G15-H15</f>
        <v/>
      </c>
      <c r="J15" s="4">
        <f>J14+C15+F15-D15-G15-H15</f>
        <v/>
      </c>
    </row>
    <row r="16">
      <c r="A16" s="3" t="inlineStr">
        <is>
          <t>Lowest closing cash</t>
        </is>
      </c>
      <c r="I16" s="4">
        <f>MIN(I4:I15)</f>
        <v/>
      </c>
      <c r="J16" s="4">
        <f>MIN(J4:J15)</f>
        <v/>
      </c>
    </row>
    <row r="17">
      <c r="A17" t="inlineStr">
        <is>
          <t>Minimum cash buffer</t>
        </is>
      </c>
      <c r="I17" s="4">
        <f>Assumptions!$B$8</f>
        <v/>
      </c>
      <c r="J17" s="4">
        <f>Assumptions!$B$8</f>
        <v/>
      </c>
    </row>
    <row r="18">
      <c r="A18" s="3" t="inlineStr">
        <is>
          <t>Capital needed</t>
        </is>
      </c>
      <c r="I18" s="20">
        <f>MAX(0,I17-I16)</f>
        <v/>
      </c>
      <c r="J18" s="20">
        <f>MAX(0,J17-J16)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2026-10-28T18:21:28Z</dcterms:created>
  <dcterms:modified xmlns:dcterms="http://purl.org/dc/terms/" xmlns:xsi="http://www.w3.org/2001/XMLSchema-instance" xsi:type="dcterms:W3CDTF">2026-10-28T18:21:28Z</dcterms:modified>
</cp:coreProperties>
</file>